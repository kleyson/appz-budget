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vember25" sheetId="1" r:id="rId4"/>
  </sheets>
  <definedNames/>
  <calcPr/>
</workbook>
</file>

<file path=xl/sharedStrings.xml><?xml version="1.0" encoding="utf-8"?>
<sst xmlns="http://schemas.openxmlformats.org/spreadsheetml/2006/main" count="149" uniqueCount="61">
  <si>
    <t>Expense details</t>
  </si>
  <si>
    <t>Period</t>
  </si>
  <si>
    <t>Category</t>
  </si>
  <si>
    <t>Budget</t>
  </si>
  <si>
    <t>Cost</t>
  </si>
  <si>
    <t>Over</t>
  </si>
  <si>
    <t>Notes</t>
  </si>
  <si>
    <t>Categories</t>
  </si>
  <si>
    <t>Total</t>
  </si>
  <si>
    <t>Investment</t>
  </si>
  <si>
    <t>Fixed/1st Period</t>
  </si>
  <si>
    <t>Investment/Savings</t>
  </si>
  <si>
    <t>Groceries</t>
  </si>
  <si>
    <t>HP</t>
  </si>
  <si>
    <t>Subscriptions</t>
  </si>
  <si>
    <t>Transportation</t>
  </si>
  <si>
    <t>Apple One</t>
  </si>
  <si>
    <t>Insurance</t>
  </si>
  <si>
    <t>Bohr</t>
  </si>
  <si>
    <t>Blink</t>
  </si>
  <si>
    <t>Rent/Utilities</t>
  </si>
  <si>
    <t>Enercare</t>
  </si>
  <si>
    <t>Going out</t>
  </si>
  <si>
    <t>KW - Hydro</t>
  </si>
  <si>
    <t>Purchases</t>
  </si>
  <si>
    <t>Fizz</t>
  </si>
  <si>
    <t>Health</t>
  </si>
  <si>
    <t>Github</t>
  </si>
  <si>
    <t>Hugo's</t>
  </si>
  <si>
    <t>YMCA</t>
  </si>
  <si>
    <t>Cineplex</t>
  </si>
  <si>
    <t>Withdrawl</t>
  </si>
  <si>
    <t>Medicine</t>
  </si>
  <si>
    <t>Jetta Insurance</t>
  </si>
  <si>
    <t>Car Wash</t>
  </si>
  <si>
    <t>Google One</t>
  </si>
  <si>
    <t>T3</t>
  </si>
  <si>
    <t>Netflix</t>
  </si>
  <si>
    <t>Fixed/2nd Period</t>
  </si>
  <si>
    <t>Sick</t>
  </si>
  <si>
    <t>Income</t>
  </si>
  <si>
    <t>Kitchener Utilities</t>
  </si>
  <si>
    <t>Expense</t>
  </si>
  <si>
    <t>Youtube Premium</t>
  </si>
  <si>
    <t>On Demand</t>
  </si>
  <si>
    <t>Rent</t>
  </si>
  <si>
    <t>Home Insurance</t>
  </si>
  <si>
    <t>Life Insurance</t>
  </si>
  <si>
    <t>CRV Insurance</t>
  </si>
  <si>
    <t>Column 4</t>
  </si>
  <si>
    <t>Cursor</t>
  </si>
  <si>
    <t>15th</t>
  </si>
  <si>
    <t>Bell</t>
  </si>
  <si>
    <t>30th</t>
  </si>
  <si>
    <t>Cash Withdrawl</t>
  </si>
  <si>
    <t>Hugo's Card</t>
  </si>
  <si>
    <t>Final Bugget November 25</t>
  </si>
  <si>
    <t>Current Result November 25</t>
  </si>
  <si>
    <t>Restaurant/Food Delivery</t>
  </si>
  <si>
    <t>LCBO</t>
  </si>
  <si>
    <t>Gas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</si>
</sst>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Ubuntu"/>
    </font>
    <font>
      <color theme="1"/>
      <name val="Arial"/>
      <scheme val="minor"/>
    </font>
    <font>
      <color theme="1"/>
      <name val="Arial"/>
    </font>
    <font>
      <sz val="15.0"/>
      <color rgb="FFFFFFFF"/>
      <name val="Ubuntu"/>
    </font>
    <font>
      <b/>
      <sz val="24.0"/>
      <color theme="1"/>
      <name val="Ubuntu"/>
    </font>
    <font/>
  </fonts>
  <fills count="4">
    <fill>
      <patternFill patternType="none"/>
    </fill>
    <fill>
      <patternFill patternType="lightGray"/>
    </fill>
    <fill>
      <patternFill patternType="solid">
        <fgColor rgb="FF674EA7"/>
        <bgColor rgb="FF674EA7"/>
      </patternFill>
    </fill>
    <fill>
      <patternFill patternType="solid">
        <fgColor rgb="FFFFFFFF"/>
        <bgColor rgb="FFFFFFFF"/>
      </patternFill>
    </fill>
  </fills>
  <borders count="7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Font="1"/>
    <xf borderId="0" fillId="0" fontId="1" numFmtId="0" xfId="0" applyAlignment="1" applyFont="1">
      <alignment horizontal="left" readingOrder="0" shrinkToFit="0" vertical="center" wrapText="1"/>
    </xf>
    <xf borderId="0" fillId="0" fontId="1" numFmtId="49" xfId="0" applyAlignment="1" applyFont="1" applyNumberFormat="1">
      <alignment horizontal="left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2" numFmtId="49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horizontal="center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1" numFmtId="49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49" xfId="0" applyAlignment="1" applyFont="1" applyNumberFormat="1">
      <alignment shrinkToFit="0" vertical="center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shrinkToFit="0" wrapText="0"/>
    </xf>
    <xf borderId="0" fillId="0" fontId="1" numFmtId="0" xfId="0" applyAlignment="1" applyFont="1">
      <alignment shrinkToFit="0" wrapText="0"/>
    </xf>
    <xf borderId="0" fillId="0" fontId="3" numFmtId="0" xfId="0" applyAlignment="1" applyFont="1">
      <alignment vertical="bottom"/>
    </xf>
    <xf borderId="0" fillId="0" fontId="1" numFmtId="0" xfId="0" applyFont="1"/>
    <xf borderId="0" fillId="0" fontId="2" numFmtId="0" xfId="0" applyAlignment="1" applyFont="1">
      <alignment readingOrder="0" shrinkToFit="0" vertical="center" wrapText="0"/>
    </xf>
    <xf borderId="0" fillId="0" fontId="3" numFmtId="0" xfId="0" applyAlignment="1" applyFont="1">
      <alignment horizontal="right" vertical="bottom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right" vertical="bottom"/>
    </xf>
    <xf borderId="0" fillId="0" fontId="2" numFmtId="0" xfId="0" applyFont="1"/>
    <xf borderId="0" fillId="0" fontId="2" numFmtId="0" xfId="0" applyAlignment="1" applyFont="1">
      <alignment horizontal="center"/>
    </xf>
    <xf borderId="0" fillId="0" fontId="3" numFmtId="0" xfId="0" applyAlignment="1" applyFont="1">
      <alignment readingOrder="0" vertical="bottom"/>
    </xf>
    <xf borderId="0" fillId="0" fontId="1" numFmtId="0" xfId="0" applyAlignment="1" applyFont="1">
      <alignment readingOrder="0"/>
    </xf>
    <xf borderId="1" fillId="0" fontId="1" numFmtId="0" xfId="0" applyAlignment="1" applyBorder="1" applyFont="1">
      <alignment readingOrder="0" shrinkToFit="0" wrapText="0"/>
    </xf>
    <xf borderId="2" fillId="0" fontId="1" numFmtId="0" xfId="0" applyAlignment="1" applyBorder="1" applyFont="1">
      <alignment readingOrder="0" shrinkToFit="0" wrapText="0"/>
    </xf>
    <xf borderId="3" fillId="0" fontId="1" numFmtId="0" xfId="0" applyAlignment="1" applyBorder="1" applyFont="1">
      <alignment horizontal="center" shrinkToFit="0" wrapText="0"/>
    </xf>
    <xf borderId="4" fillId="0" fontId="1" numFmtId="0" xfId="0" applyAlignment="1" applyBorder="1" applyFont="1">
      <alignment readingOrder="0" shrinkToFit="0" wrapText="0"/>
    </xf>
    <xf borderId="5" fillId="0" fontId="1" numFmtId="0" xfId="0" applyAlignment="1" applyBorder="1" applyFont="1">
      <alignment readingOrder="0" shrinkToFit="0" wrapText="0"/>
    </xf>
    <xf borderId="6" fillId="0" fontId="1" numFmtId="0" xfId="0" applyAlignment="1" applyBorder="1" applyFont="1">
      <alignment horizontal="center" shrinkToFit="0" wrapText="0"/>
    </xf>
    <xf borderId="0" fillId="2" fontId="4" numFmtId="0" xfId="0" applyAlignment="1" applyFill="1" applyFont="1">
      <alignment horizontal="center" readingOrder="0" shrinkToFit="0" vertical="center" wrapText="1"/>
    </xf>
    <xf borderId="1" fillId="3" fontId="5" numFmtId="0" xfId="0" applyAlignment="1" applyBorder="1" applyFill="1" applyFont="1">
      <alignment horizontal="center" vertical="center"/>
    </xf>
    <xf borderId="2" fillId="0" fontId="6" numFmtId="0" xfId="0" applyBorder="1" applyFont="1"/>
    <xf borderId="3" fillId="0" fontId="6" numFmtId="0" xfId="0" applyBorder="1" applyFont="1"/>
    <xf borderId="4" fillId="0" fontId="6" numFmtId="0" xfId="0" applyBorder="1" applyFont="1"/>
    <xf borderId="5" fillId="0" fontId="6" numFmtId="0" xfId="0" applyBorder="1" applyFont="1"/>
    <xf borderId="6" fillId="0" fontId="6" numFmtId="0" xfId="0" applyBorder="1" applyFont="1"/>
  </cellXfs>
  <cellStyles count="1">
    <cellStyle xfId="0" name="Normal" builtinId="0"/>
  </cellStyles>
  <dxfs count="8">
    <dxf>
      <font>
        <color rgb="FF0B8043"/>
      </font>
      <fill>
        <patternFill patternType="none"/>
      </fill>
      <border/>
    </dxf>
    <dxf>
      <font>
        <color rgb="FFC53929"/>
      </font>
      <fill>
        <patternFill patternType="none"/>
      </fill>
      <border/>
    </dxf>
    <dxf>
      <font>
        <color rgb="FFF09300"/>
      </font>
      <fill>
        <patternFill patternType="none"/>
      </fill>
      <border/>
    </dxf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6">
    <tableStyle count="4" pivot="0" name="November25-style">
      <tableStyleElement dxfId="4" type="headerRow"/>
      <tableStyleElement dxfId="5" type="firstRowStripe"/>
      <tableStyleElement dxfId="6" type="secondRowStripe"/>
      <tableStyleElement dxfId="7" size="0" type="wholeTable"/>
    </tableStyle>
    <tableStyle count="4" pivot="0" name="November25-style 2">
      <tableStyleElement dxfId="4" type="headerRow"/>
      <tableStyleElement dxfId="5" type="firstRowStripe"/>
      <tableStyleElement dxfId="6" type="secondRowStripe"/>
      <tableStyleElement dxfId="7" size="0" type="wholeTable"/>
    </tableStyle>
    <tableStyle count="4" pivot="0" name="November25-style 3">
      <tableStyleElement dxfId="4" type="headerRow"/>
      <tableStyleElement dxfId="5" type="firstRowStripe"/>
      <tableStyleElement dxfId="6" type="secondRowStripe"/>
      <tableStyleElement dxfId="7" size="0" type="wholeTable"/>
    </tableStyle>
    <tableStyle count="4" pivot="0" name="November25-style 4">
      <tableStyleElement dxfId="4" type="headerRow"/>
      <tableStyleElement dxfId="5" type="firstRowStripe"/>
      <tableStyleElement dxfId="6" type="secondRowStripe"/>
      <tableStyleElement dxfId="7" size="0" type="wholeTable"/>
    </tableStyle>
    <tableStyle count="4" pivot="0" name="November25-style 5">
      <tableStyleElement dxfId="4" type="headerRow"/>
      <tableStyleElement dxfId="5" type="firstRowStripe"/>
      <tableStyleElement dxfId="5" type="secondRowStripe"/>
      <tableStyleElement dxfId="7" size="0" type="wholeTable"/>
    </tableStyle>
    <tableStyle count="2" pivot="0" name="November25-style 6">
      <tableStyleElement dxfId="5" type="firstRowStripe"/>
      <tableStyleElement dxfId="6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 vs. Categories</a:t>
            </a:r>
          </a:p>
        </c:rich>
      </c:tx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November25!$I$2:$I$12</c:f>
            </c:strRef>
          </c:cat>
          <c:val>
            <c:numRef>
              <c:f>November25!$J$2:$J$12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0</xdr:colOff>
      <xdr:row>0</xdr:row>
      <xdr:rowOff>0</xdr:rowOff>
    </xdr:from>
    <xdr:ext cx="5057775" cy="31337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ref="A1:G35" displayName="Fixed_Expenses_November_25" name="Fixed_Expenses_November_25" id="1">
  <tableColumns count="7">
    <tableColumn name="Expense details" id="1"/>
    <tableColumn name="Period" id="2"/>
    <tableColumn name="Category" id="3"/>
    <tableColumn name="Budget" id="4"/>
    <tableColumn name="Cost" id="5"/>
    <tableColumn name="Over" id="6"/>
    <tableColumn name="Notes" id="7"/>
  </tableColumns>
  <tableStyleInfo name="November25-style" showColumnStripes="0" showFirstColumn="1" showLastColumn="1" showRowStripes="1"/>
</table>
</file>

<file path=xl/tables/table2.xml><?xml version="1.0" encoding="utf-8"?>
<table xmlns="http://schemas.openxmlformats.org/spreadsheetml/2006/main" ref="I1:L12" displayName="Totals_by_Category_November_25" name="Totals_by_Category_November_25" id="2">
  <tableColumns count="4">
    <tableColumn name="Categories" id="1"/>
    <tableColumn name="Budget" id="2"/>
    <tableColumn name="Total" id="3"/>
    <tableColumn name="Over" id="4"/>
  </tableColumns>
  <tableStyleInfo name="November25-style 2" showColumnStripes="0" showFirstColumn="1" showLastColumn="1" showRowStripes="1"/>
</table>
</file>

<file path=xl/tables/table3.xml><?xml version="1.0" encoding="utf-8"?>
<table xmlns="http://schemas.openxmlformats.org/spreadsheetml/2006/main" ref="I18:L21" displayName="Subtotals_November_25" name="Subtotals_November_25" id="3">
  <tableColumns count="4">
    <tableColumn name="Period" id="1"/>
    <tableColumn name="Budget" id="2"/>
    <tableColumn name="Total" id="3"/>
    <tableColumn name="Over" id="4"/>
  </tableColumns>
  <tableStyleInfo name="November25-style 3" showColumnStripes="0" showFirstColumn="1" showLastColumn="1" showRowStripes="1"/>
</table>
</file>

<file path=xl/tables/table4.xml><?xml version="1.0" encoding="utf-8"?>
<table xmlns="http://schemas.openxmlformats.org/spreadsheetml/2006/main" ref="N18:Q24" displayName="Summary_November_25" name="Summary_November_25" id="4">
  <tableColumns count="4">
    <tableColumn name="Categories" id="1"/>
    <tableColumn name="Budget" id="2"/>
    <tableColumn name="Total" id="3"/>
    <tableColumn name="Over" id="4"/>
  </tableColumns>
  <tableStyleInfo name="November25-style 4" showColumnStripes="0" showFirstColumn="1" showLastColumn="1" showRowStripes="1"/>
</table>
</file>

<file path=xl/tables/table5.xml><?xml version="1.0" encoding="utf-8"?>
<table xmlns="http://schemas.openxmlformats.org/spreadsheetml/2006/main" headerRowCount="0" ref="I25:L25" displayName="Salary_November_25" name="Salary_November_25" id="5">
  <tableColumns count="4">
    <tableColumn name="Column1" id="1"/>
    <tableColumn name="Column2" id="2"/>
    <tableColumn name="Column3" id="3"/>
    <tableColumn name="Column4" id="4"/>
  </tableColumns>
  <tableStyleInfo name="November25-style 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.xml><?xml version="1.0" encoding="utf-8"?>
<table xmlns="http://schemas.openxmlformats.org/spreadsheetml/2006/main" headerRowCount="0" ref="I26:L27" displayName="Table_1" name="Table_1" id="6">
  <tableColumns count="4">
    <tableColumn name="Column1" id="1"/>
    <tableColumn name="Column2" id="2"/>
    <tableColumn name="Column3" id="3"/>
    <tableColumn name="Column4" id="4"/>
  </tableColumns>
  <tableStyleInfo name="November25-style 6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11" Type="http://schemas.openxmlformats.org/officeDocument/2006/relationships/table" Target="../tables/table4.xml"/><Relationship Id="rId10" Type="http://schemas.openxmlformats.org/officeDocument/2006/relationships/table" Target="../tables/table3.xml"/><Relationship Id="rId13" Type="http://schemas.openxmlformats.org/officeDocument/2006/relationships/table" Target="../tables/table6.xml"/><Relationship Id="rId12" Type="http://schemas.openxmlformats.org/officeDocument/2006/relationships/table" Target="../tables/table5.xml"/><Relationship Id="rId9" Type="http://schemas.openxmlformats.org/officeDocument/2006/relationships/table" Target="../tables/table2.xml"/><Relationship Id="rId8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2.75"/>
    <col customWidth="1" min="2" max="2" width="18.75"/>
    <col customWidth="1" min="3" max="3" width="20.63"/>
    <col customWidth="1" min="4" max="5" width="15.13"/>
    <col customWidth="1" min="6" max="6" width="9.13"/>
    <col customWidth="1" min="7" max="7" width="15.13"/>
    <col customWidth="1" min="8" max="8" width="8.0"/>
    <col customWidth="1" min="9" max="9" width="23.13"/>
    <col customWidth="1" min="10" max="11" width="15.13"/>
    <col customWidth="1" min="12" max="12" width="12.63"/>
    <col customWidth="1" min="14" max="14" width="24.88"/>
    <col customWidth="1" min="15" max="15" width="13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3"/>
      <c r="I1" s="4" t="s">
        <v>7</v>
      </c>
      <c r="J1" s="5" t="s">
        <v>3</v>
      </c>
      <c r="K1" s="4" t="s">
        <v>8</v>
      </c>
      <c r="L1" s="6" t="s">
        <v>5</v>
      </c>
      <c r="M1" s="3"/>
      <c r="R1" s="3"/>
      <c r="S1" s="3"/>
      <c r="T1" s="3"/>
      <c r="U1" s="3"/>
      <c r="V1" s="3"/>
      <c r="W1" s="3"/>
    </row>
    <row r="2" ht="22.5" customHeight="1">
      <c r="A2" s="7" t="s">
        <v>9</v>
      </c>
      <c r="B2" s="8" t="s">
        <v>10</v>
      </c>
      <c r="C2" s="8" t="s">
        <v>11</v>
      </c>
      <c r="D2" s="9">
        <v>0.0</v>
      </c>
      <c r="E2" s="9">
        <v>0.0</v>
      </c>
      <c r="F2" s="10" t="str">
        <f t="shared" ref="F2:F35" si="1">IF(D2&gt;=E2,"✅","🔴")</f>
        <v>✅</v>
      </c>
      <c r="H2" s="3"/>
      <c r="I2" s="11" t="s">
        <v>12</v>
      </c>
      <c r="J2" s="12">
        <f t="shared" ref="J2:J12" si="2">SUMIF($C$2:$C$108, I2, $D$2:$D$108)</f>
        <v>800</v>
      </c>
      <c r="K2" s="12">
        <f t="shared" ref="K2:K12" si="3">SUMIF($C$2:$C$108, I2, $E$2:$E$108)</f>
        <v>79.96</v>
      </c>
      <c r="L2" s="13" t="str">
        <f t="shared" ref="L2:L12" si="4">IF(J2&gt;=K2,"✅","🔴")</f>
        <v>✅</v>
      </c>
      <c r="M2" s="3"/>
      <c r="R2" s="3"/>
      <c r="S2" s="3"/>
      <c r="T2" s="3"/>
      <c r="U2" s="3"/>
      <c r="V2" s="3"/>
      <c r="W2" s="3"/>
    </row>
    <row r="3" ht="22.5" customHeight="1">
      <c r="A3" s="14" t="s">
        <v>13</v>
      </c>
      <c r="B3" s="15" t="s">
        <v>10</v>
      </c>
      <c r="C3" s="15" t="s">
        <v>14</v>
      </c>
      <c r="D3" s="16">
        <v>8.5</v>
      </c>
      <c r="E3" s="16">
        <v>8.46</v>
      </c>
      <c r="F3" s="10" t="str">
        <f t="shared" si="1"/>
        <v>✅</v>
      </c>
      <c r="G3" s="17"/>
      <c r="H3" s="3"/>
      <c r="I3" s="11" t="s">
        <v>15</v>
      </c>
      <c r="J3" s="12">
        <f t="shared" si="2"/>
        <v>233</v>
      </c>
      <c r="K3" s="12">
        <f t="shared" si="3"/>
        <v>114.76</v>
      </c>
      <c r="L3" s="13" t="str">
        <f t="shared" si="4"/>
        <v>✅</v>
      </c>
      <c r="M3" s="3"/>
      <c r="R3" s="3"/>
      <c r="S3" s="18"/>
      <c r="T3" s="18"/>
      <c r="U3" s="18"/>
      <c r="V3" s="18"/>
    </row>
    <row r="4" ht="22.5" customHeight="1">
      <c r="A4" s="14" t="s">
        <v>16</v>
      </c>
      <c r="B4" s="15" t="s">
        <v>10</v>
      </c>
      <c r="C4" s="15" t="s">
        <v>14</v>
      </c>
      <c r="D4" s="16">
        <v>7.9</v>
      </c>
      <c r="E4" s="16">
        <v>0.0</v>
      </c>
      <c r="F4" s="10" t="str">
        <f t="shared" si="1"/>
        <v>✅</v>
      </c>
      <c r="G4" s="17"/>
      <c r="H4" s="3"/>
      <c r="I4" s="11" t="s">
        <v>17</v>
      </c>
      <c r="J4" s="12">
        <f t="shared" si="2"/>
        <v>920.25</v>
      </c>
      <c r="K4" s="12">
        <f t="shared" si="3"/>
        <v>500</v>
      </c>
      <c r="L4" s="13" t="str">
        <f t="shared" si="4"/>
        <v>✅</v>
      </c>
      <c r="M4" s="3"/>
      <c r="R4" s="3"/>
      <c r="S4" s="19"/>
      <c r="T4" s="19"/>
      <c r="U4" s="19"/>
      <c r="V4" s="19"/>
    </row>
    <row r="5" ht="22.5" customHeight="1">
      <c r="A5" s="14" t="s">
        <v>18</v>
      </c>
      <c r="B5" s="15" t="s">
        <v>10</v>
      </c>
      <c r="C5" s="15" t="s">
        <v>14</v>
      </c>
      <c r="D5" s="16">
        <v>6.0</v>
      </c>
      <c r="E5" s="16">
        <v>5.8</v>
      </c>
      <c r="F5" s="10" t="str">
        <f t="shared" si="1"/>
        <v>✅</v>
      </c>
      <c r="G5" s="17"/>
      <c r="H5" s="3"/>
      <c r="I5" s="11" t="s">
        <v>14</v>
      </c>
      <c r="J5" s="12">
        <f t="shared" si="2"/>
        <v>197.4</v>
      </c>
      <c r="K5" s="12">
        <f t="shared" si="3"/>
        <v>104.71</v>
      </c>
      <c r="L5" s="13" t="str">
        <f t="shared" si="4"/>
        <v>✅</v>
      </c>
      <c r="M5" s="3"/>
      <c r="N5" s="20"/>
      <c r="O5" s="21"/>
      <c r="P5" s="21"/>
      <c r="Q5" s="21"/>
      <c r="R5" s="3"/>
      <c r="S5" s="19"/>
      <c r="T5" s="19"/>
      <c r="U5" s="19"/>
      <c r="V5" s="19"/>
    </row>
    <row r="6" ht="22.5" customHeight="1">
      <c r="A6" s="14" t="s">
        <v>19</v>
      </c>
      <c r="B6" s="15" t="s">
        <v>10</v>
      </c>
      <c r="C6" s="15" t="s">
        <v>14</v>
      </c>
      <c r="D6" s="16">
        <v>6.0</v>
      </c>
      <c r="E6" s="16">
        <v>5.65</v>
      </c>
      <c r="F6" s="10" t="str">
        <f t="shared" si="1"/>
        <v>✅</v>
      </c>
      <c r="G6" s="17"/>
      <c r="H6" s="3"/>
      <c r="I6" s="11" t="s">
        <v>20</v>
      </c>
      <c r="J6" s="12">
        <f t="shared" si="2"/>
        <v>3350</v>
      </c>
      <c r="K6" s="12">
        <f t="shared" si="3"/>
        <v>2915.89</v>
      </c>
      <c r="L6" s="13" t="str">
        <f t="shared" si="4"/>
        <v>✅</v>
      </c>
      <c r="M6" s="3"/>
      <c r="N6" s="20"/>
      <c r="O6" s="21"/>
      <c r="P6" s="21"/>
      <c r="Q6" s="21"/>
      <c r="R6" s="3"/>
      <c r="S6" s="19"/>
      <c r="T6" s="19"/>
      <c r="U6" s="19"/>
      <c r="V6" s="19"/>
      <c r="W6" s="3"/>
    </row>
    <row r="7" ht="22.5" customHeight="1">
      <c r="A7" s="14" t="s">
        <v>21</v>
      </c>
      <c r="B7" s="15" t="s">
        <v>10</v>
      </c>
      <c r="C7" s="15" t="s">
        <v>20</v>
      </c>
      <c r="D7" s="16">
        <v>45.0</v>
      </c>
      <c r="E7" s="16">
        <v>44.58</v>
      </c>
      <c r="F7" s="10" t="str">
        <f t="shared" si="1"/>
        <v>✅</v>
      </c>
      <c r="G7" s="17"/>
      <c r="H7" s="3"/>
      <c r="I7" s="11" t="s">
        <v>22</v>
      </c>
      <c r="J7" s="12">
        <f t="shared" si="2"/>
        <v>400</v>
      </c>
      <c r="K7" s="12">
        <f t="shared" si="3"/>
        <v>365.29</v>
      </c>
      <c r="L7" s="13" t="str">
        <f t="shared" si="4"/>
        <v>✅</v>
      </c>
      <c r="M7" s="3"/>
      <c r="N7" s="20"/>
      <c r="O7" s="21"/>
      <c r="P7" s="21"/>
      <c r="Q7" s="21"/>
      <c r="R7" s="3"/>
      <c r="S7" s="19"/>
      <c r="T7" s="19"/>
      <c r="U7" s="19"/>
      <c r="V7" s="22"/>
      <c r="W7" s="3"/>
    </row>
    <row r="8" ht="22.5" customHeight="1">
      <c r="A8" s="14" t="s">
        <v>23</v>
      </c>
      <c r="B8" s="15" t="s">
        <v>10</v>
      </c>
      <c r="C8" s="15" t="s">
        <v>20</v>
      </c>
      <c r="D8" s="16">
        <v>80.0</v>
      </c>
      <c r="E8" s="16">
        <v>71.31</v>
      </c>
      <c r="F8" s="10" t="str">
        <f t="shared" si="1"/>
        <v>✅</v>
      </c>
      <c r="G8" s="17"/>
      <c r="H8" s="3"/>
      <c r="I8" s="11" t="s">
        <v>24</v>
      </c>
      <c r="J8" s="12">
        <f t="shared" si="2"/>
        <v>200</v>
      </c>
      <c r="K8" s="12">
        <f t="shared" si="3"/>
        <v>105.26</v>
      </c>
      <c r="L8" s="13" t="str">
        <f t="shared" si="4"/>
        <v>✅</v>
      </c>
      <c r="M8" s="3"/>
      <c r="N8" s="23"/>
      <c r="O8" s="23"/>
      <c r="P8" s="23"/>
      <c r="Q8" s="23"/>
      <c r="R8" s="3"/>
      <c r="S8" s="19"/>
      <c r="T8" s="19"/>
      <c r="U8" s="19"/>
      <c r="V8" s="22"/>
      <c r="W8" s="3"/>
    </row>
    <row r="9" ht="22.5" customHeight="1">
      <c r="A9" s="14" t="s">
        <v>25</v>
      </c>
      <c r="B9" s="15" t="s">
        <v>10</v>
      </c>
      <c r="C9" s="15" t="s">
        <v>14</v>
      </c>
      <c r="D9" s="16">
        <v>21.0</v>
      </c>
      <c r="E9" s="16">
        <v>20.34</v>
      </c>
      <c r="F9" s="10" t="str">
        <f t="shared" si="1"/>
        <v>✅</v>
      </c>
      <c r="G9" s="17"/>
      <c r="H9" s="3"/>
      <c r="I9" s="11" t="s">
        <v>26</v>
      </c>
      <c r="J9" s="12">
        <f t="shared" si="2"/>
        <v>874</v>
      </c>
      <c r="K9" s="12">
        <f t="shared" si="3"/>
        <v>774.31</v>
      </c>
      <c r="L9" s="13" t="str">
        <f t="shared" si="4"/>
        <v>✅</v>
      </c>
      <c r="M9" s="3"/>
      <c r="R9" s="3"/>
      <c r="S9" s="19"/>
      <c r="T9" s="19"/>
      <c r="U9" s="19"/>
      <c r="V9" s="22"/>
      <c r="W9" s="3"/>
    </row>
    <row r="10" ht="22.5" customHeight="1">
      <c r="A10" s="14" t="s">
        <v>27</v>
      </c>
      <c r="B10" s="15" t="s">
        <v>10</v>
      </c>
      <c r="C10" s="15" t="s">
        <v>14</v>
      </c>
      <c r="D10" s="16">
        <v>6.0</v>
      </c>
      <c r="E10" s="16">
        <v>5.82</v>
      </c>
      <c r="F10" s="10" t="str">
        <f t="shared" si="1"/>
        <v>✅</v>
      </c>
      <c r="G10" s="17"/>
      <c r="H10" s="3"/>
      <c r="I10" s="11" t="s">
        <v>28</v>
      </c>
      <c r="J10" s="12">
        <f t="shared" si="2"/>
        <v>2150</v>
      </c>
      <c r="K10" s="12">
        <f t="shared" si="3"/>
        <v>2086.32</v>
      </c>
      <c r="L10" s="13" t="str">
        <f t="shared" si="4"/>
        <v>✅</v>
      </c>
      <c r="M10" s="3"/>
      <c r="N10" s="3"/>
      <c r="O10" s="3"/>
      <c r="P10" s="3"/>
      <c r="Q10" s="3"/>
      <c r="R10" s="3"/>
      <c r="S10" s="19"/>
      <c r="T10" s="19"/>
      <c r="U10" s="19"/>
      <c r="V10" s="22"/>
      <c r="W10" s="3"/>
    </row>
    <row r="11" ht="22.5" customHeight="1">
      <c r="A11" s="14" t="s">
        <v>29</v>
      </c>
      <c r="B11" s="15" t="s">
        <v>10</v>
      </c>
      <c r="C11" s="15" t="s">
        <v>26</v>
      </c>
      <c r="D11" s="16">
        <v>87.0</v>
      </c>
      <c r="E11" s="16">
        <v>87.0</v>
      </c>
      <c r="F11" s="10" t="str">
        <f t="shared" si="1"/>
        <v>✅</v>
      </c>
      <c r="G11" s="17"/>
      <c r="H11" s="3"/>
      <c r="I11" s="24" t="s">
        <v>11</v>
      </c>
      <c r="J11" s="12">
        <f t="shared" si="2"/>
        <v>0</v>
      </c>
      <c r="K11" s="12">
        <f t="shared" si="3"/>
        <v>0</v>
      </c>
      <c r="L11" s="13" t="str">
        <f t="shared" si="4"/>
        <v>✅</v>
      </c>
      <c r="M11" s="3"/>
      <c r="R11" s="3"/>
      <c r="S11" s="19"/>
      <c r="T11" s="19"/>
      <c r="U11" s="19"/>
      <c r="V11" s="22"/>
      <c r="W11" s="3"/>
    </row>
    <row r="12" ht="22.5" customHeight="1">
      <c r="A12" s="14" t="s">
        <v>30</v>
      </c>
      <c r="B12" s="15" t="s">
        <v>10</v>
      </c>
      <c r="C12" s="15" t="s">
        <v>14</v>
      </c>
      <c r="D12" s="16">
        <v>12.0</v>
      </c>
      <c r="E12" s="16">
        <v>11.29</v>
      </c>
      <c r="F12" s="10" t="str">
        <f t="shared" si="1"/>
        <v>✅</v>
      </c>
      <c r="G12" s="17"/>
      <c r="H12" s="3"/>
      <c r="I12" s="24" t="s">
        <v>31</v>
      </c>
      <c r="J12" s="12">
        <f t="shared" si="2"/>
        <v>100</v>
      </c>
      <c r="K12" s="12">
        <f t="shared" si="3"/>
        <v>160</v>
      </c>
      <c r="L12" s="13" t="str">
        <f t="shared" si="4"/>
        <v>🔴</v>
      </c>
      <c r="M12" s="3"/>
      <c r="R12" s="3"/>
      <c r="S12" s="19"/>
      <c r="T12" s="25"/>
      <c r="U12" s="19"/>
      <c r="V12" s="22"/>
      <c r="W12" s="3"/>
    </row>
    <row r="13" ht="22.5" customHeight="1">
      <c r="A13" s="14" t="s">
        <v>32</v>
      </c>
      <c r="B13" s="15" t="s">
        <v>10</v>
      </c>
      <c r="C13" s="15" t="s">
        <v>26</v>
      </c>
      <c r="D13" s="16">
        <v>700.0</v>
      </c>
      <c r="E13" s="16">
        <f>637.31+50</f>
        <v>687.31</v>
      </c>
      <c r="F13" s="10" t="str">
        <f t="shared" si="1"/>
        <v>✅</v>
      </c>
      <c r="G13" s="17"/>
      <c r="H13" s="3"/>
      <c r="I13" s="23"/>
      <c r="J13" s="23"/>
      <c r="K13" s="23"/>
      <c r="L13" s="26"/>
      <c r="M13" s="3"/>
      <c r="R13" s="3"/>
      <c r="S13" s="19"/>
      <c r="T13" s="19"/>
      <c r="U13" s="27"/>
      <c r="V13" s="22"/>
      <c r="W13" s="3"/>
    </row>
    <row r="14" ht="22.5" customHeight="1">
      <c r="A14" s="14" t="s">
        <v>33</v>
      </c>
      <c r="B14" s="15" t="s">
        <v>10</v>
      </c>
      <c r="C14" s="15" t="s">
        <v>17</v>
      </c>
      <c r="D14" s="16">
        <v>500.0</v>
      </c>
      <c r="E14" s="16">
        <v>500.0</v>
      </c>
      <c r="F14" s="10" t="str">
        <f t="shared" si="1"/>
        <v>✅</v>
      </c>
      <c r="G14" s="17"/>
      <c r="H14" s="3"/>
      <c r="I14" s="28"/>
      <c r="J14" s="28"/>
      <c r="K14" s="28"/>
      <c r="L14" s="29"/>
      <c r="M14" s="3"/>
      <c r="N14" s="3"/>
      <c r="O14" s="3"/>
      <c r="P14" s="3"/>
      <c r="Q14" s="3"/>
      <c r="R14" s="3"/>
      <c r="S14" s="19"/>
      <c r="T14" s="19"/>
      <c r="U14" s="27"/>
      <c r="V14" s="22"/>
      <c r="W14" s="3"/>
    </row>
    <row r="15" ht="22.5" customHeight="1">
      <c r="A15" s="14" t="s">
        <v>34</v>
      </c>
      <c r="B15" s="15" t="s">
        <v>10</v>
      </c>
      <c r="C15" s="15" t="s">
        <v>15</v>
      </c>
      <c r="D15" s="16">
        <v>33.0</v>
      </c>
      <c r="E15" s="16">
        <v>32.76</v>
      </c>
      <c r="F15" s="10" t="str">
        <f t="shared" si="1"/>
        <v>✅</v>
      </c>
      <c r="G15" s="17"/>
      <c r="H15" s="3"/>
      <c r="I15" s="28"/>
      <c r="J15" s="28"/>
      <c r="K15" s="28"/>
      <c r="L15" s="29"/>
      <c r="M15" s="3"/>
      <c r="N15" s="3"/>
      <c r="O15" s="3"/>
      <c r="P15" s="3"/>
      <c r="Q15" s="3"/>
      <c r="R15" s="3"/>
      <c r="S15" s="19"/>
      <c r="T15" s="19"/>
      <c r="U15" s="27"/>
      <c r="V15" s="22"/>
      <c r="W15" s="3"/>
    </row>
    <row r="16" ht="22.5" customHeight="1">
      <c r="A16" s="14" t="s">
        <v>35</v>
      </c>
      <c r="B16" s="15" t="s">
        <v>10</v>
      </c>
      <c r="C16" s="15" t="s">
        <v>14</v>
      </c>
      <c r="D16" s="16">
        <v>15.0</v>
      </c>
      <c r="E16" s="16">
        <v>14.69</v>
      </c>
      <c r="F16" s="10" t="str">
        <f t="shared" si="1"/>
        <v>✅</v>
      </c>
      <c r="G16" s="17"/>
      <c r="H16" s="3"/>
      <c r="I16" s="28"/>
      <c r="J16" s="28"/>
      <c r="K16" s="28"/>
      <c r="L16" s="29"/>
      <c r="M16" s="3"/>
      <c r="N16" s="3"/>
      <c r="O16" s="3"/>
      <c r="P16" s="3"/>
      <c r="Q16" s="3"/>
      <c r="R16" s="3"/>
      <c r="S16" s="19"/>
      <c r="T16" s="19"/>
      <c r="U16" s="27"/>
      <c r="V16" s="22"/>
      <c r="W16" s="3"/>
    </row>
    <row r="17" ht="22.5" customHeight="1">
      <c r="A17" s="14" t="s">
        <v>36</v>
      </c>
      <c r="B17" s="15" t="s">
        <v>10</v>
      </c>
      <c r="C17" s="15" t="s">
        <v>14</v>
      </c>
      <c r="D17" s="16">
        <v>8.0</v>
      </c>
      <c r="E17" s="16">
        <v>5.79</v>
      </c>
      <c r="F17" s="10" t="str">
        <f t="shared" si="1"/>
        <v>✅</v>
      </c>
      <c r="G17" s="17"/>
      <c r="H17" s="3"/>
      <c r="I17" s="28"/>
      <c r="J17" s="28"/>
      <c r="K17" s="28"/>
      <c r="L17" s="29"/>
      <c r="M17" s="3"/>
      <c r="N17" s="3"/>
      <c r="O17" s="3"/>
      <c r="P17" s="3"/>
      <c r="Q17" s="3"/>
      <c r="R17" s="3"/>
      <c r="S17" s="19"/>
      <c r="T17" s="19"/>
      <c r="U17" s="27"/>
      <c r="V17" s="22"/>
      <c r="W17" s="3"/>
    </row>
    <row r="18" ht="22.5" customHeight="1">
      <c r="A18" s="14" t="s">
        <v>37</v>
      </c>
      <c r="B18" s="15" t="s">
        <v>38</v>
      </c>
      <c r="C18" s="15" t="s">
        <v>14</v>
      </c>
      <c r="D18" s="16">
        <v>27.0</v>
      </c>
      <c r="E18" s="16">
        <v>26.87</v>
      </c>
      <c r="F18" s="10" t="str">
        <f t="shared" si="1"/>
        <v>✅</v>
      </c>
      <c r="G18" s="14"/>
      <c r="H18" s="3"/>
      <c r="I18" s="4" t="s">
        <v>1</v>
      </c>
      <c r="J18" s="5" t="s">
        <v>3</v>
      </c>
      <c r="K18" s="4" t="s">
        <v>8</v>
      </c>
      <c r="L18" s="6" t="s">
        <v>5</v>
      </c>
      <c r="M18" s="3"/>
      <c r="N18" s="4" t="s">
        <v>7</v>
      </c>
      <c r="O18" s="5" t="s">
        <v>3</v>
      </c>
      <c r="P18" s="4" t="s">
        <v>8</v>
      </c>
      <c r="Q18" s="4" t="s">
        <v>5</v>
      </c>
      <c r="R18" s="3"/>
      <c r="S18" s="3"/>
      <c r="T18" s="3"/>
      <c r="U18" s="3"/>
      <c r="V18" s="3"/>
      <c r="W18" s="3"/>
    </row>
    <row r="19" ht="22.5" customHeight="1">
      <c r="A19" s="14" t="s">
        <v>39</v>
      </c>
      <c r="B19" s="15" t="s">
        <v>38</v>
      </c>
      <c r="C19" s="15" t="s">
        <v>14</v>
      </c>
      <c r="D19" s="16">
        <v>25.0</v>
      </c>
      <c r="E19" s="16">
        <v>0.0</v>
      </c>
      <c r="F19" s="10" t="str">
        <f t="shared" si="1"/>
        <v>✅</v>
      </c>
      <c r="G19" s="14"/>
      <c r="H19" s="3"/>
      <c r="I19" s="11" t="s">
        <v>10</v>
      </c>
      <c r="J19" s="12">
        <f t="shared" ref="J19:J21" si="6">SUMIF($B$2:$B$39, I19, $D$2:$D$39)</f>
        <v>1535.4</v>
      </c>
      <c r="K19" s="12">
        <f>SUMIF($B$2:$B$39, I19, $E$2:$E$39)</f>
        <v>1500.8</v>
      </c>
      <c r="L19" s="13" t="str">
        <f t="shared" ref="L19:L21" si="7">IF(J19&gt;=K19,"✅","🔴")</f>
        <v>✅</v>
      </c>
      <c r="M19" s="3"/>
      <c r="N19" s="11" t="s">
        <v>40</v>
      </c>
      <c r="O19" s="12">
        <f t="shared" ref="O19:P19" si="5">J27</f>
        <v>5006.84</v>
      </c>
      <c r="P19" s="12">
        <f t="shared" si="5"/>
        <v>5006.84</v>
      </c>
      <c r="Q19" s="13" t="str">
        <f>IF(O19&gt;=P19,"✅","🔴")</f>
        <v>✅</v>
      </c>
      <c r="R19" s="3"/>
      <c r="S19" s="3"/>
      <c r="T19" s="3"/>
      <c r="U19" s="3"/>
      <c r="V19" s="3"/>
      <c r="W19" s="3"/>
    </row>
    <row r="20" ht="22.5" customHeight="1">
      <c r="A20" s="14" t="s">
        <v>41</v>
      </c>
      <c r="B20" s="15" t="s">
        <v>38</v>
      </c>
      <c r="C20" s="15" t="s">
        <v>20</v>
      </c>
      <c r="D20" s="16">
        <v>185.0</v>
      </c>
      <c r="E20" s="16">
        <v>0.0</v>
      </c>
      <c r="F20" s="10" t="str">
        <f t="shared" si="1"/>
        <v>✅</v>
      </c>
      <c r="G20" s="17"/>
      <c r="H20" s="3"/>
      <c r="I20" s="15" t="s">
        <v>38</v>
      </c>
      <c r="J20" s="12">
        <f t="shared" si="6"/>
        <v>3839.25</v>
      </c>
      <c r="K20" s="12">
        <f t="shared" ref="K20:K21" si="9">SUMIF($B$3:$B$39, I20, $E$3:$E$39)</f>
        <v>2826.87</v>
      </c>
      <c r="L20" s="13" t="str">
        <f t="shared" si="7"/>
        <v>✅</v>
      </c>
      <c r="M20" s="3"/>
      <c r="N20" s="11" t="s">
        <v>42</v>
      </c>
      <c r="O20" s="12">
        <f t="shared" ref="O20:P20" si="8">J19 * -1</f>
        <v>-1535.4</v>
      </c>
      <c r="P20" s="12">
        <f t="shared" si="8"/>
        <v>-1500.8</v>
      </c>
      <c r="Q20" s="13" t="str">
        <f t="shared" ref="Q20:Q21" si="11">IF(O20&lt;=P20,"✅","🔴")</f>
        <v>✅</v>
      </c>
      <c r="R20" s="3"/>
      <c r="S20" s="19"/>
      <c r="T20" s="19"/>
      <c r="U20" s="22"/>
      <c r="V20" s="22"/>
      <c r="W20" s="3"/>
    </row>
    <row r="21" ht="22.5" customHeight="1">
      <c r="A21" s="14" t="s">
        <v>43</v>
      </c>
      <c r="B21" s="15" t="s">
        <v>38</v>
      </c>
      <c r="C21" s="15" t="s">
        <v>14</v>
      </c>
      <c r="D21" s="16">
        <v>26.0</v>
      </c>
      <c r="E21" s="16">
        <v>0.0</v>
      </c>
      <c r="F21" s="10" t="str">
        <f t="shared" si="1"/>
        <v>✅</v>
      </c>
      <c r="G21" s="17"/>
      <c r="H21" s="3"/>
      <c r="I21" s="15" t="s">
        <v>44</v>
      </c>
      <c r="J21" s="12">
        <f t="shared" si="6"/>
        <v>3850</v>
      </c>
      <c r="K21" s="12">
        <f t="shared" si="9"/>
        <v>2878.83</v>
      </c>
      <c r="L21" s="13" t="str">
        <f t="shared" si="7"/>
        <v>✅</v>
      </c>
      <c r="M21" s="3"/>
      <c r="N21" s="11" t="s">
        <v>42</v>
      </c>
      <c r="O21" s="12">
        <f t="shared" ref="O21:P21" si="10">J21/2 * -1</f>
        <v>-1925</v>
      </c>
      <c r="P21" s="12">
        <f t="shared" si="10"/>
        <v>-1439.415</v>
      </c>
      <c r="Q21" s="13" t="str">
        <f t="shared" si="11"/>
        <v>✅</v>
      </c>
      <c r="R21" s="3"/>
      <c r="S21" s="30"/>
      <c r="T21" s="19"/>
      <c r="U21" s="22"/>
      <c r="V21" s="22"/>
      <c r="W21" s="3"/>
    </row>
    <row r="22" ht="22.5" customHeight="1">
      <c r="A22" s="14" t="s">
        <v>45</v>
      </c>
      <c r="B22" s="15" t="s">
        <v>38</v>
      </c>
      <c r="C22" s="15" t="s">
        <v>20</v>
      </c>
      <c r="D22" s="16">
        <v>2800.0</v>
      </c>
      <c r="E22" s="16">
        <v>2800.0</v>
      </c>
      <c r="F22" s="10" t="str">
        <f t="shared" si="1"/>
        <v>✅</v>
      </c>
      <c r="G22" s="17"/>
      <c r="H22" s="3"/>
      <c r="I22" s="28"/>
      <c r="J22" s="28"/>
      <c r="K22" s="28"/>
      <c r="L22" s="29"/>
      <c r="M22" s="3"/>
      <c r="N22" s="11" t="s">
        <v>40</v>
      </c>
      <c r="O22" s="16">
        <f t="shared" ref="O22:P22" si="12">J26</f>
        <v>5118.5</v>
      </c>
      <c r="P22" s="12">
        <f t="shared" si="12"/>
        <v>5118.5</v>
      </c>
      <c r="Q22" s="13" t="str">
        <f>IF(O22&gt;=P22,"✅","🔴")</f>
        <v>✅</v>
      </c>
      <c r="R22" s="3"/>
      <c r="S22" s="30"/>
      <c r="T22" s="19"/>
      <c r="U22" s="22"/>
      <c r="V22" s="22"/>
      <c r="W22" s="3"/>
    </row>
    <row r="23" ht="22.5" customHeight="1">
      <c r="A23" s="14" t="s">
        <v>46</v>
      </c>
      <c r="B23" s="15" t="s">
        <v>38</v>
      </c>
      <c r="C23" s="15" t="s">
        <v>17</v>
      </c>
      <c r="D23" s="16">
        <v>35.2</v>
      </c>
      <c r="E23" s="16">
        <v>0.0</v>
      </c>
      <c r="F23" s="10" t="str">
        <f t="shared" si="1"/>
        <v>✅</v>
      </c>
      <c r="G23" s="17"/>
      <c r="H23" s="3"/>
      <c r="I23" s="23"/>
      <c r="J23" s="23"/>
      <c r="K23" s="23"/>
      <c r="L23" s="26"/>
      <c r="M23" s="3"/>
      <c r="N23" s="11" t="s">
        <v>42</v>
      </c>
      <c r="O23" s="12">
        <f t="shared" ref="O23:P23" si="13">J20 * -1</f>
        <v>-3839.25</v>
      </c>
      <c r="P23" s="12">
        <f t="shared" si="13"/>
        <v>-2826.87</v>
      </c>
      <c r="Q23" s="13" t="str">
        <f t="shared" ref="Q23:Q24" si="15">IF(O23&lt;=P23,"✅","🔴")</f>
        <v>✅</v>
      </c>
      <c r="R23" s="3"/>
      <c r="S23" s="30"/>
      <c r="T23" s="27"/>
      <c r="U23" s="22"/>
      <c r="V23" s="22"/>
      <c r="W23" s="3"/>
    </row>
    <row r="24" ht="22.5" customHeight="1">
      <c r="A24" s="14" t="s">
        <v>47</v>
      </c>
      <c r="B24" s="15" t="s">
        <v>38</v>
      </c>
      <c r="C24" s="15" t="s">
        <v>17</v>
      </c>
      <c r="D24" s="16">
        <v>42.21</v>
      </c>
      <c r="E24" s="16">
        <v>0.0</v>
      </c>
      <c r="F24" s="10" t="str">
        <f t="shared" si="1"/>
        <v>✅</v>
      </c>
      <c r="G24" s="17"/>
      <c r="H24" s="3"/>
      <c r="I24" s="23"/>
      <c r="J24" s="23"/>
      <c r="K24" s="23"/>
      <c r="L24" s="26"/>
      <c r="M24" s="3"/>
      <c r="N24" s="11" t="s">
        <v>42</v>
      </c>
      <c r="O24" s="12">
        <f t="shared" ref="O24:P24" si="14">J21/2 * -1</f>
        <v>-1925</v>
      </c>
      <c r="P24" s="12">
        <f t="shared" si="14"/>
        <v>-1439.415</v>
      </c>
      <c r="Q24" s="13" t="str">
        <f t="shared" si="15"/>
        <v>✅</v>
      </c>
      <c r="R24" s="3"/>
      <c r="S24" s="30"/>
      <c r="T24" s="27"/>
      <c r="U24" s="22"/>
      <c r="V24" s="22"/>
      <c r="W24" s="3"/>
    </row>
    <row r="25" ht="22.5" customHeight="1">
      <c r="A25" s="14" t="s">
        <v>48</v>
      </c>
      <c r="B25" s="15" t="s">
        <v>38</v>
      </c>
      <c r="C25" s="15" t="s">
        <v>17</v>
      </c>
      <c r="D25" s="16">
        <v>342.84</v>
      </c>
      <c r="E25" s="16">
        <v>0.0</v>
      </c>
      <c r="F25" s="10" t="str">
        <f t="shared" si="1"/>
        <v>✅</v>
      </c>
      <c r="G25" s="17"/>
      <c r="H25" s="3"/>
      <c r="I25" s="4" t="s">
        <v>1</v>
      </c>
      <c r="J25" s="5" t="s">
        <v>3</v>
      </c>
      <c r="K25" s="4" t="s">
        <v>8</v>
      </c>
      <c r="L25" s="6" t="s">
        <v>49</v>
      </c>
      <c r="M25" s="3"/>
      <c r="R25" s="3"/>
      <c r="S25" s="3"/>
      <c r="T25" s="31"/>
      <c r="U25" s="3"/>
      <c r="V25" s="3"/>
      <c r="W25" s="3"/>
    </row>
    <row r="26" ht="22.5" customHeight="1">
      <c r="A26" s="14" t="s">
        <v>50</v>
      </c>
      <c r="B26" s="15" t="s">
        <v>38</v>
      </c>
      <c r="C26" s="15" t="s">
        <v>14</v>
      </c>
      <c r="D26" s="16">
        <v>29.0</v>
      </c>
      <c r="E26" s="16">
        <v>0.0</v>
      </c>
      <c r="F26" s="10" t="str">
        <f t="shared" si="1"/>
        <v>✅</v>
      </c>
      <c r="G26" s="17"/>
      <c r="H26" s="3"/>
      <c r="I26" s="32" t="s">
        <v>51</v>
      </c>
      <c r="J26" s="33">
        <v>5118.5</v>
      </c>
      <c r="K26" s="33">
        <v>5118.5</v>
      </c>
      <c r="L26" s="34" t="str">
        <f t="shared" ref="L26:L27" si="16">IF(J26&gt;=K26,"✅","🔴")</f>
        <v>✅</v>
      </c>
      <c r="M26" s="3"/>
      <c r="R26" s="3"/>
      <c r="S26" s="3"/>
      <c r="T26" s="31"/>
      <c r="U26" s="3"/>
      <c r="V26" s="3"/>
      <c r="W26" s="3"/>
    </row>
    <row r="27" ht="22.5" customHeight="1">
      <c r="A27" s="14" t="s">
        <v>52</v>
      </c>
      <c r="B27" s="15" t="s">
        <v>38</v>
      </c>
      <c r="C27" s="15" t="s">
        <v>20</v>
      </c>
      <c r="D27" s="16">
        <v>240.0</v>
      </c>
      <c r="E27" s="16">
        <v>0.0</v>
      </c>
      <c r="F27" s="10" t="str">
        <f t="shared" si="1"/>
        <v>✅</v>
      </c>
      <c r="G27" s="17"/>
      <c r="H27" s="3"/>
      <c r="I27" s="35" t="s">
        <v>53</v>
      </c>
      <c r="J27" s="36">
        <v>5006.84</v>
      </c>
      <c r="K27" s="36">
        <f>IF(DAY(TODAY())&gt;=1, J27,0)</f>
        <v>5006.84</v>
      </c>
      <c r="L27" s="37" t="str">
        <f t="shared" si="16"/>
        <v>✅</v>
      </c>
      <c r="M27" s="3"/>
      <c r="R27" s="3"/>
      <c r="S27" s="3"/>
      <c r="T27" s="31"/>
      <c r="U27" s="3"/>
      <c r="V27" s="3"/>
      <c r="W27" s="3"/>
    </row>
    <row r="28" ht="22.5" customHeight="1">
      <c r="A28" s="14" t="s">
        <v>29</v>
      </c>
      <c r="B28" s="15" t="s">
        <v>38</v>
      </c>
      <c r="C28" s="15" t="s">
        <v>26</v>
      </c>
      <c r="D28" s="16">
        <v>87.0</v>
      </c>
      <c r="E28" s="16">
        <v>0.0</v>
      </c>
      <c r="F28" s="10" t="str">
        <f t="shared" si="1"/>
        <v>✅</v>
      </c>
      <c r="G28" s="17"/>
      <c r="H28" s="3"/>
      <c r="I28" s="23"/>
      <c r="J28" s="23"/>
      <c r="K28" s="23"/>
      <c r="L28" s="26"/>
      <c r="M28" s="3"/>
      <c r="R28" s="3"/>
      <c r="S28" s="3"/>
      <c r="T28" s="3"/>
      <c r="U28" s="3"/>
      <c r="V28" s="3"/>
      <c r="W28" s="3"/>
    </row>
    <row r="29" ht="22.5" customHeight="1">
      <c r="A29" s="14" t="s">
        <v>54</v>
      </c>
      <c r="B29" s="15" t="s">
        <v>44</v>
      </c>
      <c r="C29" s="15" t="s">
        <v>31</v>
      </c>
      <c r="D29" s="16">
        <v>100.0</v>
      </c>
      <c r="E29" s="16">
        <v>160.0</v>
      </c>
      <c r="F29" s="10" t="str">
        <f t="shared" si="1"/>
        <v>🔴</v>
      </c>
      <c r="G29" s="17"/>
      <c r="H29" s="3"/>
      <c r="I29" s="23"/>
      <c r="J29" s="23"/>
      <c r="K29" s="23"/>
      <c r="L29" s="26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</row>
    <row r="30" ht="22.5" customHeight="1">
      <c r="A30" s="14" t="s">
        <v>55</v>
      </c>
      <c r="B30" s="15" t="s">
        <v>44</v>
      </c>
      <c r="C30" s="15" t="s">
        <v>28</v>
      </c>
      <c r="D30" s="16">
        <v>2150.0</v>
      </c>
      <c r="E30" s="16">
        <f>2000+47.48+38.84</f>
        <v>2086.32</v>
      </c>
      <c r="F30" s="10" t="str">
        <f t="shared" si="1"/>
        <v>✅</v>
      </c>
      <c r="G30" s="14"/>
      <c r="H30" s="3"/>
      <c r="I30" s="38" t="s">
        <v>56</v>
      </c>
      <c r="M30" s="3"/>
      <c r="N30" s="38" t="s">
        <v>57</v>
      </c>
      <c r="R30" s="3"/>
      <c r="S30" s="3"/>
      <c r="T30" s="3"/>
      <c r="U30" s="3"/>
      <c r="V30" s="3"/>
      <c r="W30" s="3"/>
    </row>
    <row r="31" ht="22.5" customHeight="1">
      <c r="A31" s="14" t="s">
        <v>58</v>
      </c>
      <c r="B31" s="15" t="s">
        <v>44</v>
      </c>
      <c r="C31" s="15" t="s">
        <v>22</v>
      </c>
      <c r="D31" s="16">
        <v>300.0</v>
      </c>
      <c r="E31" s="16">
        <f>25.11+13.8+40.62+21.09+16.94+56.41+71.37+40.25</f>
        <v>285.59</v>
      </c>
      <c r="F31" s="10" t="str">
        <f t="shared" si="1"/>
        <v>✅</v>
      </c>
      <c r="G31" s="17"/>
      <c r="H31" s="3"/>
      <c r="I31" s="39">
        <f>SUM(Summary_November_25[Budget])</f>
        <v>900.69</v>
      </c>
      <c r="J31" s="40"/>
      <c r="K31" s="40"/>
      <c r="L31" s="41"/>
      <c r="M31" s="3"/>
      <c r="N31" s="39">
        <f>SUM(Summary_November_25[Total])</f>
        <v>2918.84</v>
      </c>
      <c r="O31" s="40"/>
      <c r="P31" s="40"/>
      <c r="Q31" s="41"/>
      <c r="R31" s="3"/>
      <c r="S31" s="3"/>
      <c r="T31" s="3"/>
      <c r="U31" s="3"/>
      <c r="V31" s="3"/>
      <c r="W31" s="3"/>
    </row>
    <row r="32" ht="22.5" customHeight="1">
      <c r="A32" s="14" t="s">
        <v>59</v>
      </c>
      <c r="B32" s="15" t="s">
        <v>44</v>
      </c>
      <c r="C32" s="15" t="s">
        <v>22</v>
      </c>
      <c r="D32" s="16">
        <v>100.0</v>
      </c>
      <c r="E32" s="16">
        <f>49.95+29.75</f>
        <v>79.7</v>
      </c>
      <c r="F32" s="10" t="str">
        <f t="shared" si="1"/>
        <v>✅</v>
      </c>
      <c r="G32" s="17"/>
      <c r="H32" s="3"/>
      <c r="I32" s="42"/>
      <c r="J32" s="43"/>
      <c r="K32" s="43"/>
      <c r="L32" s="44"/>
      <c r="M32" s="3"/>
      <c r="N32" s="42"/>
      <c r="O32" s="43"/>
      <c r="P32" s="43"/>
      <c r="Q32" s="44"/>
      <c r="R32" s="3"/>
      <c r="S32" s="3"/>
      <c r="T32" s="3"/>
      <c r="U32" s="3"/>
      <c r="V32" s="3"/>
      <c r="W32" s="3"/>
    </row>
    <row r="33" ht="22.5" customHeight="1">
      <c r="A33" s="14" t="s">
        <v>60</v>
      </c>
      <c r="B33" s="15" t="s">
        <v>44</v>
      </c>
      <c r="C33" s="15" t="s">
        <v>15</v>
      </c>
      <c r="D33" s="16">
        <v>200.0</v>
      </c>
      <c r="E33" s="16">
        <f>48.44+33.56</f>
        <v>82</v>
      </c>
      <c r="F33" s="10" t="str">
        <f t="shared" si="1"/>
        <v>✅</v>
      </c>
      <c r="G33" s="17"/>
      <c r="H33" s="3"/>
      <c r="I33" s="23"/>
      <c r="J33" s="23"/>
      <c r="K33" s="23"/>
      <c r="L33" s="26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</row>
    <row r="34" ht="22.5" customHeight="1">
      <c r="A34" s="14" t="s">
        <v>12</v>
      </c>
      <c r="B34" s="15" t="s">
        <v>44</v>
      </c>
      <c r="C34" s="15" t="s">
        <v>12</v>
      </c>
      <c r="D34" s="16">
        <v>800.0</v>
      </c>
      <c r="E34" s="16">
        <f>19.52+24.99+35.45</f>
        <v>79.96</v>
      </c>
      <c r="F34" s="10" t="str">
        <f t="shared" si="1"/>
        <v>✅</v>
      </c>
      <c r="G34" s="17"/>
      <c r="H34" s="3"/>
      <c r="I34" s="23"/>
      <c r="J34" s="23"/>
      <c r="K34" s="23"/>
      <c r="L34" s="26"/>
      <c r="M34" s="3"/>
      <c r="R34" s="3"/>
      <c r="S34" s="3"/>
      <c r="T34" s="3"/>
      <c r="U34" s="3"/>
      <c r="V34" s="3"/>
      <c r="W34" s="3"/>
    </row>
    <row r="35" ht="22.5" customHeight="1">
      <c r="A35" s="14" t="s">
        <v>24</v>
      </c>
      <c r="B35" s="15" t="s">
        <v>44</v>
      </c>
      <c r="C35" s="15" t="s">
        <v>24</v>
      </c>
      <c r="D35" s="16">
        <v>200.0</v>
      </c>
      <c r="E35" s="16">
        <f>24.85+29.4+9.61+2.54+9.03+6.67+20.33+2.83</f>
        <v>105.26</v>
      </c>
      <c r="F35" s="10" t="str">
        <f t="shared" si="1"/>
        <v>✅</v>
      </c>
      <c r="G35" s="14"/>
      <c r="H35" s="3"/>
      <c r="I35" s="23"/>
      <c r="J35" s="23"/>
      <c r="K35" s="23"/>
      <c r="L35" s="26"/>
      <c r="M35" s="23"/>
      <c r="R35" s="3"/>
      <c r="S35" s="3"/>
      <c r="T35" s="3"/>
      <c r="U35" s="3"/>
      <c r="V35" s="3"/>
      <c r="W35" s="3"/>
    </row>
    <row r="36">
      <c r="H36" s="3"/>
      <c r="I36" s="23"/>
      <c r="J36" s="23"/>
      <c r="K36" s="23"/>
      <c r="L36" s="26"/>
      <c r="M36" s="3"/>
      <c r="R36" s="3"/>
      <c r="S36" s="3"/>
      <c r="T36" s="3"/>
      <c r="U36" s="3"/>
      <c r="V36" s="3"/>
      <c r="W36" s="3"/>
    </row>
  </sheetData>
  <mergeCells count="4">
    <mergeCell ref="I30:L30"/>
    <mergeCell ref="N30:Q30"/>
    <mergeCell ref="I31:L32"/>
    <mergeCell ref="N31:Q32"/>
  </mergeCells>
  <conditionalFormatting sqref="I31:L32 N31:Q32">
    <cfRule type="cellIs" dxfId="0" priority="1" operator="greaterThanOrEqual">
      <formula>0</formula>
    </cfRule>
  </conditionalFormatting>
  <conditionalFormatting sqref="I31:L32 N31:Q32">
    <cfRule type="cellIs" dxfId="1" priority="2" operator="lessThan">
      <formula>0</formula>
    </cfRule>
  </conditionalFormatting>
  <conditionalFormatting sqref="D2:E36">
    <cfRule type="cellIs" dxfId="2" priority="3" operator="equal">
      <formula>0</formula>
    </cfRule>
  </conditionalFormatting>
  <dataValidations>
    <dataValidation type="list" allowBlank="1" sqref="I2:I12 C2:C35">
      <formula1>"Groceries,Transportation,Insurance,Subscriptions,Rent/Utilities,Going out,Purchases,Health,Hugo's,Investment/Savings,Withdrawl"</formula1>
    </dataValidation>
    <dataValidation type="custom" allowBlank="1" showDropDown="1" sqref="K2:K12 K19:K21 P19:P24 E2:E35">
      <formula1>AND(ISNUMBER(E2),(NOT(OR(NOT(ISERROR(DATEVALUE(E2))), AND(ISNUMBER(E2), LEFT(CELL("format", E2))="D")))))</formula1>
    </dataValidation>
    <dataValidation type="list" allowBlank="1" sqref="I19:I21 B2:B35">
      <formula1>"Fixed/1st Period,Fixed/2nd Period,On Demand"</formula1>
    </dataValidation>
    <dataValidation type="list" allowBlank="1" sqref="I26:I27">
      <formula1>"15th,30th"</formula1>
    </dataValidation>
    <dataValidation allowBlank="1" showDropDown="1" sqref="A2:A35 G2:G35"/>
    <dataValidation type="list" allowBlank="1" sqref="N19:N24">
      <formula1>"Income,Expense"</formula1>
    </dataValidation>
  </dataValidations>
  <drawing r:id="rId1"/>
  <tableParts count="6">
    <tablePart r:id="rId8"/>
    <tablePart r:id="rId9"/>
    <tablePart r:id="rId10"/>
    <tablePart r:id="rId11"/>
    <tablePart r:id="rId12"/>
    <tablePart r:id="rId13"/>
  </tableParts>
</worksheet>
</file>